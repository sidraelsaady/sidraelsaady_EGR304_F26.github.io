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ower Budget" sheetId="1" r:id="rId5"/>
  </sheets>
</workbook>
</file>

<file path=xl/comments1.xml><?xml version="1.0" encoding="utf-8"?>
<comments xmlns="http://schemas.openxmlformats.org/spreadsheetml/2006/main">
  <authors>
    <author>Unknown Author</author>
  </authors>
  <commentList>
    <comment ref="F22" authorId="0">
      <text>
        <r>
          <rPr>
            <sz val="11"/>
            <color indexed="8"/>
            <rFont val="Helvetica Neue"/>
          </rPr>
          <t>Unknown Author:
PIC18F27/47/57Q43 datasheet DS40002147, Table 47-2, D102 IDDHFO64 max 8.2 mA (HFINTOSC 64 MHz). I/O pin loads (LEDs, UART) are listed separately below.</t>
        </r>
      </text>
    </comment>
    <comment ref="F23" authorId="0">
      <text>
        <r>
          <rPr>
            <sz val="11"/>
            <color indexed="8"/>
            <rFont val="Helvetica Neue"/>
          </rPr>
          <t>Unknown Author:
SHT3x-ARP datasheet: IDD max 350 uA.</t>
        </r>
      </text>
    </comment>
    <comment ref="F24" authorId="0">
      <text>
        <r>
          <rPr>
            <sz val="11"/>
            <color indexed="8"/>
            <rFont val="Helvetica Neue"/>
          </rPr>
          <t>Unknown Author:
MCP6001 datasheet DS20001733: IQ max 170 uA.</t>
        </r>
      </text>
    </comment>
    <comment ref="F25" authorId="0">
      <text>
        <r>
          <rPr>
            <sz val="11"/>
            <color indexed="8"/>
            <rFont val="Helvetica Neue"/>
          </rPr>
          <t>Unknown Author:
Worst case: op amp output at 4.95 V across 11 kOhm feedback divider.</t>
        </r>
      </text>
    </comment>
    <comment ref="F26" authorId="0">
      <text>
        <r>
          <rPr>
            <sz val="11"/>
            <color indexed="8"/>
            <rFont val="Helvetica Neue"/>
          </rPr>
          <t>Unknown Author:
(5 V - Vf) / 330 ohm with worst-case Vf = 1.8 V, all three assumed ON.</t>
        </r>
      </text>
    </comment>
    <comment ref="F27" authorId="0">
      <text>
        <r>
          <rPr>
            <sz val="11"/>
            <color indexed="8"/>
            <rFont val="Helvetica Neue"/>
          </rPr>
          <t>Unknown Author:
Current while TX is high. Remove this row if the team chooses 5 V UART (R5 removed).</t>
        </r>
      </text>
    </comment>
    <comment ref="F28" authorId="0">
      <text>
        <r>
          <rPr>
            <sz val="11"/>
            <color indexed="8"/>
            <rFont val="Helvetica Neue"/>
          </rPr>
          <t>Unknown Author:
Only while SW1 is held down.</t>
        </r>
      </text>
    </comment>
    <comment ref="F29" authorId="0">
      <text>
        <r>
          <rPr>
            <sz val="11"/>
            <color indexed="8"/>
            <rFont val="Helvetica Neue"/>
          </rPr>
          <t>Unknown Author:
Input leakage only; effectively zero.</t>
        </r>
      </text>
    </comment>
    <comment ref="F34" authorId="0">
      <text>
        <r>
          <rPr>
            <sz val="11"/>
            <color indexed="8"/>
            <rFont val="Helvetica Neue"/>
          </rPr>
          <t>Unknown Author:
L7805 datasheet DS0422: 1.5 A output current.</t>
        </r>
      </text>
    </comment>
    <comment ref="F38" authorId="0">
      <text>
        <r>
          <rPr>
            <sz val="11"/>
            <color indexed="8"/>
            <rFont val="Helvetica Neue"/>
          </rPr>
          <t>Unknown Author:
Regulator input current = output current + quiescent current. Uses the +5V subtotal so the margin is applied only once.</t>
        </r>
      </text>
    </comment>
    <comment ref="F39" authorId="0">
      <text>
        <r>
          <rPr>
            <sz val="11"/>
            <color indexed="8"/>
            <rFont val="Helvetica Neue"/>
          </rPr>
          <t>Unknown Author:
L7805C datasheet DS0422, Table 10: Id max 8 mA.</t>
        </r>
      </text>
    </comment>
    <comment ref="F44" authorId="0">
      <text>
        <r>
          <rPr>
            <sz val="11"/>
            <color indexed="8"/>
            <rFont val="Helvetica Neue"/>
          </rPr>
          <t>Unknown Author:
CUI SWI12-9-N-P5: 9 V, 1.2 A.</t>
        </r>
      </text>
    </comment>
    <comment ref="C51" authorId="0">
      <text>
        <r>
          <rPr>
            <sz val="11"/>
            <color indexed="8"/>
            <rFont val="Helvetica Neue"/>
          </rPr>
          <t>Unknown Author:
L7805 datasheet DS0422, Table 2: RthJA = 50 C/W for TO-220.</t>
        </r>
      </text>
    </comment>
  </commentList>
</comments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<sst xmlns="http://schemas.openxmlformats.org/spreadsheetml/2006/main" uniqueCount="86">
  <si>
    <t>Power Budget - Humidity Sensing Subsystem</t>
  </si>
  <si>
    <t>Team Number:</t>
  </si>
  <si>
    <t>202</t>
  </si>
  <si>
    <t>Project Name:</t>
  </si>
  <si>
    <t>Environmental Monitoring Device</t>
  </si>
  <si>
    <t>Team Member Name:</t>
  </si>
  <si>
    <t>Sidra Elsaady (Humidity Sensing Subsystem)</t>
  </si>
  <si>
    <t>Version:</t>
  </si>
  <si>
    <t>Assumptions</t>
  </si>
  <si>
    <t>Regulated rail voltage (V)</t>
  </si>
  <si>
    <t>L7805CV nominal output</t>
  </si>
  <si>
    <t>Input voltage (V)</t>
  </si>
  <si>
    <t>CUI SWI12-9-N-P5 wall adapter</t>
  </si>
  <si>
    <t>LED minimum forward voltage (V)</t>
  </si>
  <si>
    <t>Worst case (red LED); green/yellow are ~2 V, so they draw less</t>
  </si>
  <si>
    <t>LED series resistor (ohm)</t>
  </si>
  <si>
    <t>R1, R7, R8 on the schematic</t>
  </si>
  <si>
    <t>Safety margin</t>
  </si>
  <si>
    <t>Course template: 25 %</t>
  </si>
  <si>
    <t>All Major Components</t>
  </si>
  <si>
    <t>Component Name</t>
  </si>
  <si>
    <t>Part Number</t>
  </si>
  <si>
    <t>Supply Voltage Range</t>
  </si>
  <si>
    <t>Qty.</t>
  </si>
  <si>
    <t>Absolute Maximum Current (mA)</t>
  </si>
  <si>
    <t>Total Current (mA)</t>
  </si>
  <si>
    <t>Unit</t>
  </si>
  <si>
    <t>Curiosity Nano dev board (PIC18F57Q43)</t>
  </si>
  <si>
    <t>Microchip DM164150</t>
  </si>
  <si>
    <t>1.8 - 5.5 V</t>
  </si>
  <si>
    <t>mA</t>
  </si>
  <si>
    <t>Humidity sensor (analog)</t>
  </si>
  <si>
    <t>Sensirion SHT31-ARP-B</t>
  </si>
  <si>
    <t>2.4 - 5.5 V</t>
  </si>
  <si>
    <t>Op amp, non-inverting G = 1.1</t>
  </si>
  <si>
    <t>Microchip MCP6001T-I/OT</t>
  </si>
  <si>
    <t>1.8 - 6.0 V</t>
  </si>
  <si>
    <t>5 V linear regulator</t>
  </si>
  <si>
    <t>STMicroelectronics L7805CV</t>
  </si>
  <si>
    <t>7 - 35 V in</t>
  </si>
  <si>
    <t>9 V wall adapter</t>
  </si>
  <si>
    <t>CUI Devices SWI12-9-N-P5</t>
  </si>
  <si>
    <t>9 V out</t>
  </si>
  <si>
    <t>+5V Power Rail</t>
  </si>
  <si>
    <t>Curiosity Nano dev board (PIC18F57Q43, 64 MHz)</t>
  </si>
  <si>
    <t>Humidity sensor</t>
  </si>
  <si>
    <t>Op amp</t>
  </si>
  <si>
    <t>Op amp gain resistors R11 + R12 (1k + 10k)</t>
  </si>
  <si>
    <t>0805, 1 %, 1/8 W</t>
  </si>
  <si>
    <t>5 V</t>
  </si>
  <si>
    <t>Indicator LEDs D1 green, D2 yellow, D3 red (330 ohm each)</t>
  </si>
  <si>
    <t>0805 LEDs + R1, R7, R8</t>
  </si>
  <si>
    <t>UART TX level divider R4 + R5 (1.8k + 3.3k)</t>
  </si>
  <si>
    <t>0805, 1/8 W</t>
  </si>
  <si>
    <t>Pushbutton pull-up R9 (10k), button pressed</t>
  </si>
  <si>
    <t>Sensor RESET pull-up R2 (10k)</t>
  </si>
  <si>
    <t>Subtotal</t>
  </si>
  <si>
    <t>Safety Margin</t>
  </si>
  <si>
    <t>Total Current Required on +5V Rail</t>
  </si>
  <si>
    <t>Regulator</t>
  </si>
  <si>
    <t>+5V regulator (output capability)</t>
  </si>
  <si>
    <t>Total Remaining Current Available on +5V Rail</t>
  </si>
  <si>
    <t>+9V Input Rail</t>
  </si>
  <si>
    <t>L7805CV load (+5V rail subtotal)</t>
  </si>
  <si>
    <t>L7805CV current</t>
  </si>
  <si>
    <t>Total Current Required on +9V Rail</t>
  </si>
  <si>
    <t>Power Source</t>
  </si>
  <si>
    <t>Total Remaining Current Available on +9V Rail</t>
  </si>
  <si>
    <t>Design Checks</t>
  </si>
  <si>
    <t>Fuse F1 rating (mA)</t>
  </si>
  <si>
    <t>Fuse rating / total input current</t>
  </si>
  <si>
    <t>x</t>
  </si>
  <si>
    <t>L7805 power dissipation (W)</t>
  </si>
  <si>
    <t>W</t>
  </si>
  <si>
    <t>L7805 thermal resistance, TO-220 (C/W)</t>
  </si>
  <si>
    <t>C/W</t>
  </si>
  <si>
    <t>L7805 junction temperature rise (C)</t>
  </si>
  <si>
    <t>C</t>
  </si>
  <si>
    <t>Total board power from 9 V (W)</t>
  </si>
  <si>
    <t>Sources and notes</t>
  </si>
  <si>
    <t>PIC18F57Q43: Microchip DS40002147, Table 47-2 (D102, IDD at HFINTOSC 64 MHz, max 8.2 mA, specified at 3.0 V; the 25 % margin covers higher draw at 5 V).</t>
  </si>
  <si>
    <t>SHT31-ARP-B: Sensirion SHT3x-ARP datasheet, supply current max 350 uA.</t>
  </si>
  <si>
    <t>MCP6001T-I/OT: Microchip DS20001733, quiescent current max 170 uA.</t>
  </si>
  <si>
    <t>L7805CV: STMicroelectronics DS0422 Rev 38, Table 10 (quiescent current 8 mA max, 1.5 A output) and Table 2 (RthJA 50 C/W, TO-220).</t>
  </si>
  <si>
    <t>SWI12-9-N-P5: CUI Devices, 9 V 1.2 A output.</t>
  </si>
  <si>
    <t>The Curiosity Nano's on-board debugger is powered from USB, not from this board, so it is not included.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</si>
</sst>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6"/>
      <color indexed="8"/>
      <name val="Arial"/>
    </font>
    <font>
      <sz val="11"/>
      <color indexed="8"/>
      <name val="Arial"/>
    </font>
    <font>
      <sz val="10"/>
      <color indexed="8"/>
      <name val="Arial"/>
    </font>
    <font>
      <sz val="9"/>
      <color indexed="8"/>
      <name val="Arial"/>
    </font>
    <font>
      <sz val="11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1" fontId="3" fillId="3" borderId="2" applyNumberFormat="1" applyFont="1" applyFill="1" applyBorder="1" applyAlignment="1" applyProtection="0">
      <alignment horizontal="center" vertical="center" wrapText="1"/>
    </xf>
    <xf numFmtId="1" fontId="3" fillId="3" borderId="3" applyNumberFormat="1" applyFont="1" applyFill="1" applyBorder="1" applyAlignment="1" applyProtection="0">
      <alignment horizontal="center" vertical="center" wrapText="1"/>
    </xf>
    <xf numFmtId="1" fontId="4" fillId="4" borderId="4" applyNumberFormat="1" applyFont="1" applyFill="1" applyBorder="1" applyAlignment="1" applyProtection="0">
      <alignment vertical="bottom"/>
    </xf>
    <xf numFmtId="49" fontId="5" fillId="4" borderId="4" applyNumberFormat="1" applyFont="1" applyFill="1" applyBorder="1" applyAlignment="1" applyProtection="0">
      <alignment horizontal="right" vertical="center"/>
    </xf>
    <xf numFmtId="49" fontId="5" fillId="4" borderId="4" applyNumberFormat="1" applyFont="1" applyFill="1" applyBorder="1" applyAlignment="1" applyProtection="0">
      <alignment vertical="bottom"/>
    </xf>
    <xf numFmtId="1" fontId="4" fillId="4" borderId="5" applyNumberFormat="1" applyFont="1" applyFill="1" applyBorder="1" applyAlignment="1" applyProtection="0">
      <alignment vertical="bottom"/>
    </xf>
    <xf numFmtId="49" fontId="5" fillId="4" borderId="5" applyNumberFormat="1" applyFont="1" applyFill="1" applyBorder="1" applyAlignment="1" applyProtection="0">
      <alignment horizontal="right" vertical="center"/>
    </xf>
    <xf numFmtId="49" fontId="5" fillId="4" borderId="5" applyNumberFormat="1" applyFont="1" applyFill="1" applyBorder="1" applyAlignment="1" applyProtection="0">
      <alignment vertical="bottom"/>
    </xf>
    <xf numFmtId="1" fontId="5" fillId="4" borderId="5" applyNumberFormat="1" applyFont="1" applyFill="1" applyBorder="1" applyAlignment="1" applyProtection="0">
      <alignment vertical="bottom"/>
    </xf>
    <xf numFmtId="1" fontId="4" fillId="4" borderId="6" applyNumberFormat="1" applyFont="1" applyFill="1" applyBorder="1" applyAlignment="1" applyProtection="0">
      <alignment vertical="bottom"/>
    </xf>
    <xf numFmtId="1" fontId="4" fillId="4" borderId="7" applyNumberFormat="1" applyFont="1" applyFill="1" applyBorder="1" applyAlignment="1" applyProtection="0">
      <alignment vertical="bottom"/>
    </xf>
    <xf numFmtId="49" fontId="5" fillId="4" borderId="8" applyNumberFormat="1" applyFont="1" applyFill="1" applyBorder="1" applyAlignment="1" applyProtection="0">
      <alignment vertical="bottom"/>
    </xf>
    <xf numFmtId="1" fontId="5" fillId="4" borderId="8" applyNumberFormat="1" applyFont="1" applyFill="1" applyBorder="1" applyAlignment="1" applyProtection="0">
      <alignment horizontal="center" vertical="center" wrapText="1"/>
    </xf>
    <xf numFmtId="49" fontId="6" fillId="4" borderId="9" applyNumberFormat="1" applyFont="1" applyFill="1" applyBorder="1" applyAlignment="1" applyProtection="0">
      <alignment vertical="bottom"/>
    </xf>
    <xf numFmtId="9" fontId="5" fillId="4" borderId="8" applyNumberFormat="1" applyFont="1" applyFill="1" applyBorder="1" applyAlignment="1" applyProtection="0">
      <alignment horizontal="center" vertical="center" wrapText="1"/>
    </xf>
    <xf numFmtId="1" fontId="4" fillId="4" borderId="10" applyNumberFormat="1" applyFont="1" applyFill="1" applyBorder="1" applyAlignment="1" applyProtection="0">
      <alignment vertical="bottom"/>
    </xf>
    <xf numFmtId="49" fontId="5" fillId="5" borderId="8" applyNumberFormat="1" applyFont="1" applyFill="1" applyBorder="1" applyAlignment="1" applyProtection="0">
      <alignment horizontal="left" vertical="center" wrapText="1"/>
    </xf>
    <xf numFmtId="49" fontId="5" fillId="5" borderId="8" applyNumberFormat="1" applyFont="1" applyFill="1" applyBorder="1" applyAlignment="1" applyProtection="0">
      <alignment horizontal="center" vertical="center" wrapText="1"/>
    </xf>
    <xf numFmtId="1" fontId="4" fillId="4" borderId="11" applyNumberFormat="1" applyFont="1" applyFill="1" applyBorder="1" applyAlignment="1" applyProtection="0">
      <alignment vertical="bottom"/>
    </xf>
    <xf numFmtId="49" fontId="5" fillId="4" borderId="8" applyNumberFormat="1" applyFont="1" applyFill="1" applyBorder="1" applyAlignment="1" applyProtection="0">
      <alignment horizontal="left" vertical="center" wrapText="1"/>
    </xf>
    <xf numFmtId="49" fontId="5" fillId="4" borderId="8" applyNumberFormat="1" applyFont="1" applyFill="1" applyBorder="1" applyAlignment="1" applyProtection="0">
      <alignment horizontal="center" vertical="center" wrapText="1"/>
    </xf>
    <xf numFmtId="2" fontId="5" fillId="4" borderId="8" applyNumberFormat="1" applyFont="1" applyFill="1" applyBorder="1" applyAlignment="1" applyProtection="0">
      <alignment horizontal="center" vertical="center" wrapText="1"/>
    </xf>
    <xf numFmtId="1" fontId="4" fillId="4" borderId="12" applyNumberFormat="1" applyFont="1" applyFill="1" applyBorder="1" applyAlignment="1" applyProtection="0">
      <alignment vertical="bottom"/>
    </xf>
    <xf numFmtId="49" fontId="5" fillId="4" borderId="8" applyNumberFormat="1" applyFont="1" applyFill="1" applyBorder="1" applyAlignment="1" applyProtection="0">
      <alignment horizontal="right" vertical="center"/>
    </xf>
    <xf numFmtId="1" fontId="5" fillId="4" borderId="8" applyNumberFormat="1" applyFont="1" applyFill="1" applyBorder="1" applyAlignment="1" applyProtection="0">
      <alignment horizontal="right" vertical="center"/>
    </xf>
    <xf numFmtId="49" fontId="5" fillId="4" borderId="9" applyNumberFormat="1" applyFont="1" applyFill="1" applyBorder="1" applyAlignment="1" applyProtection="0">
      <alignment vertical="bottom"/>
    </xf>
    <xf numFmtId="59" fontId="5" fillId="4" borderId="8" applyNumberFormat="1" applyFont="1" applyFill="1" applyBorder="1" applyAlignment="1" applyProtection="0">
      <alignment horizontal="center" vertical="center" wrapText="1"/>
    </xf>
    <xf numFmtId="0" fontId="6" fillId="4" borderId="5" applyNumberFormat="0" applyFont="1" applyFill="1" applyBorder="1" applyAlignment="1" applyProtection="0">
      <alignment horizontal="left" vertical="center" wrapText="1"/>
    </xf>
    <xf numFmtId="1" fontId="6" fillId="4" borderId="5" applyNumberFormat="1" applyFont="1" applyFill="1" applyBorder="1" applyAlignment="1" applyProtection="0">
      <alignment horizontal="left" vertical="center" wrapText="1"/>
    </xf>
    <xf numFmtId="49" fontId="6" fillId="4" borderId="5" applyNumberFormat="1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65081"/>
      <rgbColor rgb="ffaaaaaa"/>
      <rgbColor rgb="ffdda0dd"/>
      <rgbColor rgb="ffffffff"/>
      <rgbColor rgb="ffeeece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2"/>
  <sheetViews>
    <sheetView workbookViewId="0" showGridLines="0" defaultGridColor="1"/>
  </sheetViews>
  <sheetFormatPr defaultColWidth="8.66667" defaultRowHeight="15" customHeight="1" outlineLevelRow="0" outlineLevelCol="0"/>
  <cols>
    <col min="1" max="1" width="24" style="1" customWidth="1"/>
    <col min="2" max="2" width="40" style="1" customWidth="1"/>
    <col min="3" max="3" width="26" style="1" customWidth="1"/>
    <col min="4" max="4" width="15" style="1" customWidth="1"/>
    <col min="5" max="5" width="7" style="1" customWidth="1"/>
    <col min="6" max="6" width="15" style="1" customWidth="1"/>
    <col min="7" max="7" width="13" style="1" customWidth="1"/>
    <col min="8" max="8" width="7" style="1" customWidth="1"/>
    <col min="9" max="16384" width="8.67188" style="1" customWidth="1"/>
  </cols>
  <sheetData>
    <row r="1" ht="27.75" customHeight="1">
      <c r="A1" t="s" s="2">
        <v>0</v>
      </c>
      <c r="B1" s="3"/>
      <c r="C1" s="3"/>
      <c r="D1" s="3"/>
      <c r="E1" s="3"/>
      <c r="F1" s="3"/>
      <c r="G1" s="3"/>
      <c r="H1" s="4"/>
    </row>
    <row r="2" ht="14.6" customHeight="1">
      <c r="A2" s="5"/>
      <c r="B2" t="s" s="6">
        <v>1</v>
      </c>
      <c r="C2" t="s" s="7">
        <v>2</v>
      </c>
      <c r="D2" s="5"/>
      <c r="E2" s="5"/>
      <c r="F2" s="5"/>
      <c r="G2" s="5"/>
      <c r="H2" s="5"/>
    </row>
    <row r="3" ht="14.6" customHeight="1">
      <c r="A3" s="8"/>
      <c r="B3" t="s" s="9">
        <v>3</v>
      </c>
      <c r="C3" t="s" s="10">
        <v>4</v>
      </c>
      <c r="D3" s="8"/>
      <c r="E3" s="8"/>
      <c r="F3" s="8"/>
      <c r="G3" s="8"/>
      <c r="H3" s="8"/>
    </row>
    <row r="4" ht="14.6" customHeight="1">
      <c r="A4" s="8"/>
      <c r="B4" t="s" s="9">
        <v>5</v>
      </c>
      <c r="C4" t="s" s="10">
        <v>6</v>
      </c>
      <c r="D4" s="8"/>
      <c r="E4" s="8"/>
      <c r="F4" s="8"/>
      <c r="G4" s="8"/>
      <c r="H4" s="8"/>
    </row>
    <row r="5" ht="14.6" customHeight="1">
      <c r="A5" s="8"/>
      <c r="B5" t="s" s="9">
        <v>7</v>
      </c>
      <c r="C5" s="11">
        <v>1</v>
      </c>
      <c r="D5" s="8"/>
      <c r="E5" s="8"/>
      <c r="F5" s="8"/>
      <c r="G5" s="8"/>
      <c r="H5" s="8"/>
    </row>
    <row r="6" ht="14.6" customHeight="1">
      <c r="A6" s="8"/>
      <c r="B6" s="8"/>
      <c r="C6" s="8"/>
      <c r="D6" s="8"/>
      <c r="E6" s="8"/>
      <c r="F6" s="8"/>
      <c r="G6" s="8"/>
      <c r="H6" s="8"/>
    </row>
    <row r="7" ht="14.6" customHeight="1">
      <c r="A7" t="s" s="10">
        <v>8</v>
      </c>
      <c r="B7" s="12"/>
      <c r="C7" s="12"/>
      <c r="D7" s="8"/>
      <c r="E7" s="8"/>
      <c r="F7" s="8"/>
      <c r="G7" s="8"/>
      <c r="H7" s="8"/>
    </row>
    <row r="8" ht="14.6" customHeight="1">
      <c r="A8" s="13"/>
      <c r="B8" t="s" s="14">
        <v>9</v>
      </c>
      <c r="C8" s="15">
        <v>5</v>
      </c>
      <c r="D8" t="s" s="16">
        <v>10</v>
      </c>
      <c r="E8" s="8"/>
      <c r="F8" s="8"/>
      <c r="G8" s="8"/>
      <c r="H8" s="8"/>
    </row>
    <row r="9" ht="14.6" customHeight="1">
      <c r="A9" s="13"/>
      <c r="B9" t="s" s="14">
        <v>11</v>
      </c>
      <c r="C9" s="15">
        <v>9</v>
      </c>
      <c r="D9" t="s" s="16">
        <v>12</v>
      </c>
      <c r="E9" s="8"/>
      <c r="F9" s="8"/>
      <c r="G9" s="8"/>
      <c r="H9" s="8"/>
    </row>
    <row r="10" ht="14.6" customHeight="1">
      <c r="A10" s="13"/>
      <c r="B10" t="s" s="14">
        <v>13</v>
      </c>
      <c r="C10" s="15">
        <v>1.8</v>
      </c>
      <c r="D10" t="s" s="16">
        <v>14</v>
      </c>
      <c r="E10" s="8"/>
      <c r="F10" s="8"/>
      <c r="G10" s="8"/>
      <c r="H10" s="8"/>
    </row>
    <row r="11" ht="14.6" customHeight="1">
      <c r="A11" s="13"/>
      <c r="B11" t="s" s="14">
        <v>15</v>
      </c>
      <c r="C11" s="15">
        <v>330</v>
      </c>
      <c r="D11" t="s" s="16">
        <v>16</v>
      </c>
      <c r="E11" s="8"/>
      <c r="F11" s="8"/>
      <c r="G11" s="8"/>
      <c r="H11" s="8"/>
    </row>
    <row r="12" ht="14.6" customHeight="1">
      <c r="A12" s="13"/>
      <c r="B12" t="s" s="14">
        <v>17</v>
      </c>
      <c r="C12" s="17">
        <v>0.25</v>
      </c>
      <c r="D12" t="s" s="16">
        <v>18</v>
      </c>
      <c r="E12" s="8"/>
      <c r="F12" s="8"/>
      <c r="G12" s="8"/>
      <c r="H12" s="8"/>
    </row>
    <row r="13" ht="14.6" customHeight="1">
      <c r="A13" s="12"/>
      <c r="B13" s="18"/>
      <c r="C13" s="18"/>
      <c r="D13" s="12"/>
      <c r="E13" s="12"/>
      <c r="F13" s="12"/>
      <c r="G13" s="12"/>
      <c r="H13" s="12"/>
    </row>
    <row r="14" ht="45.75" customHeight="1">
      <c r="A14" t="s" s="19">
        <v>19</v>
      </c>
      <c r="B14" t="s" s="20">
        <v>20</v>
      </c>
      <c r="C14" t="s" s="20">
        <v>21</v>
      </c>
      <c r="D14" t="s" s="20">
        <v>22</v>
      </c>
      <c r="E14" t="s" s="20">
        <v>23</v>
      </c>
      <c r="F14" t="s" s="20">
        <v>24</v>
      </c>
      <c r="G14" t="s" s="20">
        <v>25</v>
      </c>
      <c r="H14" t="s" s="20">
        <v>26</v>
      </c>
    </row>
    <row r="15" ht="14.6" customHeight="1">
      <c r="A15" s="21"/>
      <c r="B15" t="s" s="22">
        <v>27</v>
      </c>
      <c r="C15" t="s" s="22">
        <v>28</v>
      </c>
      <c r="D15" t="s" s="23">
        <v>29</v>
      </c>
      <c r="E15" s="15">
        <v>1</v>
      </c>
      <c r="F15" s="24">
        <v>8.199999999999999</v>
      </c>
      <c r="G15" s="24" cm="1">
        <f t="array" ref="G15">E15*F15</f>
        <v>8.199999999999999</v>
      </c>
      <c r="H15" t="s" s="23">
        <v>30</v>
      </c>
    </row>
    <row r="16" ht="14.6" customHeight="1">
      <c r="A16" s="13"/>
      <c r="B16" t="s" s="22">
        <v>31</v>
      </c>
      <c r="C16" t="s" s="22">
        <v>32</v>
      </c>
      <c r="D16" t="s" s="23">
        <v>33</v>
      </c>
      <c r="E16" s="15">
        <v>1</v>
      </c>
      <c r="F16" s="24">
        <v>0.35</v>
      </c>
      <c r="G16" s="24" cm="1">
        <f t="array" ref="G16">E16*F16</f>
        <v>0.35</v>
      </c>
      <c r="H16" t="s" s="23">
        <v>30</v>
      </c>
    </row>
    <row r="17" ht="14.6" customHeight="1">
      <c r="A17" s="13"/>
      <c r="B17" t="s" s="22">
        <v>34</v>
      </c>
      <c r="C17" t="s" s="22">
        <v>35</v>
      </c>
      <c r="D17" t="s" s="23">
        <v>36</v>
      </c>
      <c r="E17" s="15">
        <v>1</v>
      </c>
      <c r="F17" s="24">
        <v>0.17</v>
      </c>
      <c r="G17" s="24" cm="1">
        <f t="array" ref="G17">E17*F17</f>
        <v>0.17</v>
      </c>
      <c r="H17" t="s" s="23">
        <v>30</v>
      </c>
    </row>
    <row r="18" ht="14.6" customHeight="1">
      <c r="A18" s="13"/>
      <c r="B18" t="s" s="22">
        <v>37</v>
      </c>
      <c r="C18" t="s" s="22">
        <v>38</v>
      </c>
      <c r="D18" t="s" s="23">
        <v>39</v>
      </c>
      <c r="E18" s="15">
        <v>1</v>
      </c>
      <c r="F18" s="24">
        <v>1500</v>
      </c>
      <c r="G18" s="24" cm="1">
        <f t="array" ref="G18">E18*F18</f>
        <v>1500</v>
      </c>
      <c r="H18" t="s" s="23">
        <v>30</v>
      </c>
    </row>
    <row r="19" ht="14.6" customHeight="1">
      <c r="A19" s="13"/>
      <c r="B19" t="s" s="22">
        <v>40</v>
      </c>
      <c r="C19" t="s" s="22">
        <v>41</v>
      </c>
      <c r="D19" t="s" s="23">
        <v>42</v>
      </c>
      <c r="E19" s="15">
        <v>1</v>
      </c>
      <c r="F19" s="24">
        <v>1200</v>
      </c>
      <c r="G19" s="24" cm="1">
        <f t="array" ref="G19">E19*F19</f>
        <v>1200</v>
      </c>
      <c r="H19" t="s" s="23">
        <v>30</v>
      </c>
    </row>
    <row r="20" ht="14.6" customHeight="1">
      <c r="A20" s="12"/>
      <c r="B20" s="18"/>
      <c r="C20" s="18"/>
      <c r="D20" s="18"/>
      <c r="E20" s="18"/>
      <c r="F20" s="18"/>
      <c r="G20" s="18"/>
      <c r="H20" s="18"/>
    </row>
    <row r="21" ht="45.75" customHeight="1">
      <c r="A21" t="s" s="19">
        <v>43</v>
      </c>
      <c r="B21" t="s" s="20">
        <v>20</v>
      </c>
      <c r="C21" t="s" s="20">
        <v>21</v>
      </c>
      <c r="D21" t="s" s="20">
        <v>22</v>
      </c>
      <c r="E21" t="s" s="20">
        <v>23</v>
      </c>
      <c r="F21" t="s" s="20">
        <v>24</v>
      </c>
      <c r="G21" t="s" s="20">
        <v>25</v>
      </c>
      <c r="H21" t="s" s="20">
        <v>26</v>
      </c>
    </row>
    <row r="22" ht="27.75" customHeight="1">
      <c r="A22" s="21"/>
      <c r="B22" t="s" s="22">
        <v>44</v>
      </c>
      <c r="C22" t="s" s="22">
        <v>28</v>
      </c>
      <c r="D22" t="s" s="23">
        <v>29</v>
      </c>
      <c r="E22" s="15">
        <v>1</v>
      </c>
      <c r="F22" s="24">
        <v>8.199999999999999</v>
      </c>
      <c r="G22" s="24" cm="1">
        <f t="array" ref="G22">E22*F22</f>
        <v>8.199999999999999</v>
      </c>
      <c r="H22" t="s" s="23">
        <v>30</v>
      </c>
    </row>
    <row r="23" ht="14.6" customHeight="1">
      <c r="A23" s="13"/>
      <c r="B23" t="s" s="22">
        <v>45</v>
      </c>
      <c r="C23" t="s" s="22">
        <v>32</v>
      </c>
      <c r="D23" t="s" s="23">
        <v>33</v>
      </c>
      <c r="E23" s="15">
        <v>1</v>
      </c>
      <c r="F23" s="24">
        <v>0.35</v>
      </c>
      <c r="G23" s="24" cm="1">
        <f t="array" ref="G23">E23*F23</f>
        <v>0.35</v>
      </c>
      <c r="H23" t="s" s="23">
        <v>30</v>
      </c>
    </row>
    <row r="24" ht="14.6" customHeight="1">
      <c r="A24" s="13"/>
      <c r="B24" t="s" s="22">
        <v>46</v>
      </c>
      <c r="C24" t="s" s="22">
        <v>35</v>
      </c>
      <c r="D24" t="s" s="23">
        <v>36</v>
      </c>
      <c r="E24" s="15">
        <v>1</v>
      </c>
      <c r="F24" s="24">
        <v>0.17</v>
      </c>
      <c r="G24" s="24" cm="1">
        <f t="array" ref="G24">E24*F24</f>
        <v>0.17</v>
      </c>
      <c r="H24" t="s" s="23">
        <v>30</v>
      </c>
    </row>
    <row r="25" ht="27.75" customHeight="1">
      <c r="A25" s="13"/>
      <c r="B25" t="s" s="22">
        <v>47</v>
      </c>
      <c r="C25" t="s" s="22">
        <v>48</v>
      </c>
      <c r="D25" t="s" s="23">
        <v>49</v>
      </c>
      <c r="E25" s="15">
        <v>1</v>
      </c>
      <c r="F25" s="24" cm="1">
        <f t="array" ref="F25">ROUND(4.95/11,2)</f>
        <v>0.45</v>
      </c>
      <c r="G25" s="24" cm="1">
        <f t="array" ref="G25">E25*F25</f>
        <v>0.45</v>
      </c>
      <c r="H25" t="s" s="23">
        <v>30</v>
      </c>
    </row>
    <row r="26" ht="27.75" customHeight="1">
      <c r="A26" s="13"/>
      <c r="B26" t="s" s="22">
        <v>50</v>
      </c>
      <c r="C26" t="s" s="22">
        <v>51</v>
      </c>
      <c r="D26" t="s" s="23">
        <v>49</v>
      </c>
      <c r="E26" s="15">
        <v>3</v>
      </c>
      <c r="F26" s="24" cm="1">
        <f t="array" ref="F26">ROUND(($C$8-$C$10)/$C$11*1000,2)</f>
        <v>9.699999999999999</v>
      </c>
      <c r="G26" s="24" cm="1">
        <f t="array" ref="G26">E26*F26</f>
        <v>29.1</v>
      </c>
      <c r="H26" t="s" s="23">
        <v>30</v>
      </c>
    </row>
    <row r="27" ht="27.75" customHeight="1">
      <c r="A27" s="13"/>
      <c r="B27" t="s" s="22">
        <v>52</v>
      </c>
      <c r="C27" t="s" s="22">
        <v>53</v>
      </c>
      <c r="D27" t="s" s="23">
        <v>49</v>
      </c>
      <c r="E27" s="15">
        <v>1</v>
      </c>
      <c r="F27" s="24" cm="1">
        <f t="array" ref="F27">ROUND($C$8/(1.8+3.3),2)</f>
        <v>0.98</v>
      </c>
      <c r="G27" s="24" cm="1">
        <f t="array" ref="G27">E27*F27</f>
        <v>0.98</v>
      </c>
      <c r="H27" t="s" s="23">
        <v>30</v>
      </c>
    </row>
    <row r="28" ht="27.75" customHeight="1">
      <c r="A28" s="13"/>
      <c r="B28" t="s" s="22">
        <v>54</v>
      </c>
      <c r="C28" t="s" s="22">
        <v>53</v>
      </c>
      <c r="D28" t="s" s="23">
        <v>49</v>
      </c>
      <c r="E28" s="15">
        <v>1</v>
      </c>
      <c r="F28" s="24" cm="1">
        <f t="array" ref="F28">ROUND($C$8/10,2)</f>
        <v>0.5</v>
      </c>
      <c r="G28" s="24" cm="1">
        <f t="array" ref="G28">E28*F28</f>
        <v>0.5</v>
      </c>
      <c r="H28" t="s" s="23">
        <v>30</v>
      </c>
    </row>
    <row r="29" ht="14.6" customHeight="1">
      <c r="A29" s="13"/>
      <c r="B29" t="s" s="22">
        <v>55</v>
      </c>
      <c r="C29" t="s" s="22">
        <v>53</v>
      </c>
      <c r="D29" t="s" s="23">
        <v>49</v>
      </c>
      <c r="E29" s="15">
        <v>1</v>
      </c>
      <c r="F29" s="24">
        <v>0.01</v>
      </c>
      <c r="G29" s="24" cm="1">
        <f t="array" ref="G29">E29*F29</f>
        <v>0.01</v>
      </c>
      <c r="H29" t="s" s="23">
        <v>30</v>
      </c>
    </row>
    <row r="30" ht="14.6" customHeight="1">
      <c r="A30" s="8"/>
      <c r="B30" s="25"/>
      <c r="C30" s="21"/>
      <c r="D30" t="s" s="26">
        <v>56</v>
      </c>
      <c r="E30" s="27"/>
      <c r="F30" s="27"/>
      <c r="G30" s="24" cm="1">
        <f t="array" ref="G30">SUM(G22:G29)</f>
        <v>39.76</v>
      </c>
      <c r="H30" t="s" s="23">
        <v>30</v>
      </c>
    </row>
    <row r="31" ht="14.6" customHeight="1">
      <c r="A31" s="8"/>
      <c r="B31" s="8"/>
      <c r="C31" s="13"/>
      <c r="D31" t="s" s="26">
        <v>57</v>
      </c>
      <c r="E31" s="27"/>
      <c r="F31" s="27"/>
      <c r="G31" s="17" cm="1">
        <f t="array" ref="G31">$C$12</f>
        <v>0.25</v>
      </c>
      <c r="H31" s="15"/>
    </row>
    <row r="32" ht="14.6" customHeight="1">
      <c r="A32" s="8"/>
      <c r="B32" s="8"/>
      <c r="C32" s="13"/>
      <c r="D32" t="s" s="26">
        <v>58</v>
      </c>
      <c r="E32" s="27"/>
      <c r="F32" s="27"/>
      <c r="G32" s="24" cm="1">
        <f t="array" ref="G32">G30*(1+G31)</f>
        <v>49.7</v>
      </c>
      <c r="H32" t="s" s="23">
        <v>30</v>
      </c>
    </row>
    <row r="33" ht="14.6" customHeight="1">
      <c r="A33" s="12"/>
      <c r="B33" s="12"/>
      <c r="C33" s="12"/>
      <c r="D33" s="18"/>
      <c r="E33" s="18"/>
      <c r="F33" s="18"/>
      <c r="G33" s="18"/>
      <c r="H33" s="18"/>
    </row>
    <row r="34" ht="13.65" customHeight="1">
      <c r="A34" t="s" s="14">
        <v>59</v>
      </c>
      <c r="B34" t="s" s="22">
        <v>60</v>
      </c>
      <c r="C34" t="s" s="22">
        <v>38</v>
      </c>
      <c r="D34" t="s" s="23">
        <v>39</v>
      </c>
      <c r="E34" s="15">
        <v>1</v>
      </c>
      <c r="F34" s="24">
        <v>1500</v>
      </c>
      <c r="G34" s="24" cm="1">
        <f t="array" ref="G34">E34*F34</f>
        <v>1500</v>
      </c>
      <c r="H34" t="s" s="23">
        <v>30</v>
      </c>
    </row>
    <row r="35" ht="14.6" customHeight="1">
      <c r="A35" s="25"/>
      <c r="B35" s="21"/>
      <c r="C35" t="s" s="26">
        <v>61</v>
      </c>
      <c r="D35" s="27"/>
      <c r="E35" s="27"/>
      <c r="F35" s="27"/>
      <c r="G35" s="24" cm="1">
        <f t="array" ref="G35">G34-G32</f>
        <v>1450.3</v>
      </c>
      <c r="H35" t="s" s="23">
        <v>30</v>
      </c>
    </row>
    <row r="36" ht="14.6" customHeight="1">
      <c r="A36" s="12"/>
      <c r="B36" s="12"/>
      <c r="C36" s="18"/>
      <c r="D36" s="18"/>
      <c r="E36" s="18"/>
      <c r="F36" s="18"/>
      <c r="G36" s="18"/>
      <c r="H36" s="18"/>
    </row>
    <row r="37" ht="45.75" customHeight="1">
      <c r="A37" t="s" s="19">
        <v>62</v>
      </c>
      <c r="B37" t="s" s="20">
        <v>20</v>
      </c>
      <c r="C37" t="s" s="20">
        <v>21</v>
      </c>
      <c r="D37" t="s" s="20">
        <v>22</v>
      </c>
      <c r="E37" t="s" s="20">
        <v>23</v>
      </c>
      <c r="F37" t="s" s="20">
        <v>24</v>
      </c>
      <c r="G37" t="s" s="20">
        <v>25</v>
      </c>
      <c r="H37" t="s" s="20">
        <v>26</v>
      </c>
    </row>
    <row r="38" ht="14.6" customHeight="1">
      <c r="A38" s="21"/>
      <c r="B38" t="s" s="22">
        <v>63</v>
      </c>
      <c r="C38" t="s" s="22">
        <v>38</v>
      </c>
      <c r="D38" t="s" s="23">
        <v>39</v>
      </c>
      <c r="E38" s="15">
        <v>1</v>
      </c>
      <c r="F38" s="24" cm="1">
        <f t="array" ref="F38">G30</f>
        <v>39.76</v>
      </c>
      <c r="G38" s="24" cm="1">
        <f t="array" ref="G38">E38*F38</f>
        <v>39.76</v>
      </c>
      <c r="H38" t="s" s="23">
        <v>30</v>
      </c>
    </row>
    <row r="39" ht="14.6" customHeight="1">
      <c r="A39" s="13"/>
      <c r="B39" t="s" s="22">
        <v>64</v>
      </c>
      <c r="C39" t="s" s="22">
        <v>38</v>
      </c>
      <c r="D39" t="s" s="23">
        <v>39</v>
      </c>
      <c r="E39" s="15">
        <v>1</v>
      </c>
      <c r="F39" s="24">
        <v>8</v>
      </c>
      <c r="G39" s="24" cm="1">
        <f t="array" ref="G39">E39*F39</f>
        <v>8</v>
      </c>
      <c r="H39" t="s" s="23">
        <v>30</v>
      </c>
    </row>
    <row r="40" ht="14.6" customHeight="1">
      <c r="A40" s="8"/>
      <c r="B40" s="25"/>
      <c r="C40" s="21"/>
      <c r="D40" t="s" s="26">
        <v>56</v>
      </c>
      <c r="E40" s="27"/>
      <c r="F40" s="27"/>
      <c r="G40" s="24" cm="1">
        <f t="array" ref="G40">SUM(G38:G39)</f>
        <v>47.76</v>
      </c>
      <c r="H40" t="s" s="23">
        <v>30</v>
      </c>
    </row>
    <row r="41" ht="14.6" customHeight="1">
      <c r="A41" s="8"/>
      <c r="B41" s="8"/>
      <c r="C41" s="13"/>
      <c r="D41" t="s" s="26">
        <v>57</v>
      </c>
      <c r="E41" s="27"/>
      <c r="F41" s="27"/>
      <c r="G41" s="17" cm="1">
        <f t="array" ref="G41">$C$12</f>
        <v>0.25</v>
      </c>
      <c r="H41" s="15"/>
    </row>
    <row r="42" ht="14.6" customHeight="1">
      <c r="A42" s="8"/>
      <c r="B42" s="8"/>
      <c r="C42" s="13"/>
      <c r="D42" t="s" s="26">
        <v>65</v>
      </c>
      <c r="E42" s="27"/>
      <c r="F42" s="27"/>
      <c r="G42" s="24" cm="1">
        <f t="array" ref="G42">G40*(1+G41)</f>
        <v>59.7</v>
      </c>
      <c r="H42" t="s" s="23">
        <v>30</v>
      </c>
    </row>
    <row r="43" ht="14.6" customHeight="1">
      <c r="A43" s="12"/>
      <c r="B43" s="12"/>
      <c r="C43" s="12"/>
      <c r="D43" s="18"/>
      <c r="E43" s="18"/>
      <c r="F43" s="18"/>
      <c r="G43" s="18"/>
      <c r="H43" s="18"/>
    </row>
    <row r="44" ht="13.65" customHeight="1">
      <c r="A44" t="s" s="14">
        <v>66</v>
      </c>
      <c r="B44" t="s" s="22">
        <v>40</v>
      </c>
      <c r="C44" t="s" s="22">
        <v>41</v>
      </c>
      <c r="D44" t="s" s="23">
        <v>42</v>
      </c>
      <c r="E44" s="15">
        <v>1</v>
      </c>
      <c r="F44" s="24">
        <v>1200</v>
      </c>
      <c r="G44" s="24" cm="1">
        <f t="array" ref="G44">E44*F44</f>
        <v>1200</v>
      </c>
      <c r="H44" t="s" s="23">
        <v>30</v>
      </c>
    </row>
    <row r="45" ht="14.6" customHeight="1">
      <c r="A45" s="25"/>
      <c r="B45" s="21"/>
      <c r="C45" t="s" s="26">
        <v>67</v>
      </c>
      <c r="D45" s="27"/>
      <c r="E45" s="27"/>
      <c r="F45" s="27"/>
      <c r="G45" s="24" cm="1">
        <f t="array" ref="G45">G44-G42</f>
        <v>1140.3</v>
      </c>
      <c r="H45" t="s" s="23">
        <v>30</v>
      </c>
    </row>
    <row r="46" ht="14.6" customHeight="1">
      <c r="A46" s="8"/>
      <c r="B46" s="8"/>
      <c r="C46" s="25"/>
      <c r="D46" s="25"/>
      <c r="E46" s="25"/>
      <c r="F46" s="25"/>
      <c r="G46" s="25"/>
      <c r="H46" s="25"/>
    </row>
    <row r="47" ht="14.6" customHeight="1">
      <c r="A47" t="s" s="10">
        <v>68</v>
      </c>
      <c r="B47" s="12"/>
      <c r="C47" s="12"/>
      <c r="D47" s="8"/>
      <c r="E47" s="8"/>
      <c r="F47" s="8"/>
      <c r="G47" s="8"/>
      <c r="H47" s="8"/>
    </row>
    <row r="48" ht="14.6" customHeight="1">
      <c r="A48" s="13"/>
      <c r="B48" t="s" s="14">
        <v>69</v>
      </c>
      <c r="C48" s="15">
        <v>500</v>
      </c>
      <c r="D48" t="s" s="28">
        <v>30</v>
      </c>
      <c r="E48" s="8"/>
      <c r="F48" s="8"/>
      <c r="G48" s="8"/>
      <c r="H48" s="8"/>
    </row>
    <row r="49" ht="14.6" customHeight="1">
      <c r="A49" s="13"/>
      <c r="B49" t="s" s="14">
        <v>70</v>
      </c>
      <c r="C49" s="29" cm="1">
        <f t="array" ref="C49">C48/G42</f>
        <v>8.37520938023451</v>
      </c>
      <c r="D49" t="s" s="28">
        <v>71</v>
      </c>
      <c r="E49" s="8"/>
      <c r="F49" s="8"/>
      <c r="G49" s="8"/>
      <c r="H49" s="8"/>
    </row>
    <row r="50" ht="14.6" customHeight="1">
      <c r="A50" s="13"/>
      <c r="B50" t="s" s="14">
        <v>72</v>
      </c>
      <c r="C50" s="24" cm="1">
        <f t="array" ref="C50">($C$9-$C$8)*G32/1000+$C$9*G39/1000</f>
        <v>0.2708</v>
      </c>
      <c r="D50" t="s" s="28">
        <v>73</v>
      </c>
      <c r="E50" s="8"/>
      <c r="F50" s="8"/>
      <c r="G50" s="8"/>
      <c r="H50" s="8"/>
    </row>
    <row r="51" ht="14.6" customHeight="1">
      <c r="A51" s="13"/>
      <c r="B51" t="s" s="14">
        <v>74</v>
      </c>
      <c r="C51" s="15">
        <v>50</v>
      </c>
      <c r="D51" t="s" s="28">
        <v>75</v>
      </c>
      <c r="E51" s="8"/>
      <c r="F51" s="8"/>
      <c r="G51" s="8"/>
      <c r="H51" s="8"/>
    </row>
    <row r="52" ht="14.6" customHeight="1">
      <c r="A52" s="13"/>
      <c r="B52" t="s" s="14">
        <v>76</v>
      </c>
      <c r="C52" s="29" cm="1">
        <f t="array" ref="C52">C50*C51</f>
        <v>13.54</v>
      </c>
      <c r="D52" t="s" s="28">
        <v>77</v>
      </c>
      <c r="E52" s="8"/>
      <c r="F52" s="8"/>
      <c r="G52" s="8"/>
      <c r="H52" s="8"/>
    </row>
    <row r="53" ht="14.6" customHeight="1">
      <c r="A53" s="13"/>
      <c r="B53" t="s" s="14">
        <v>78</v>
      </c>
      <c r="C53" s="24" cm="1">
        <f t="array" ref="C53">$C$9*G42/1000</f>
        <v>0.5373</v>
      </c>
      <c r="D53" t="s" s="28">
        <v>73</v>
      </c>
      <c r="E53" s="8"/>
      <c r="F53" s="8"/>
      <c r="G53" s="8"/>
      <c r="H53" s="8"/>
    </row>
    <row r="54" ht="14.6" customHeight="1">
      <c r="A54" s="8"/>
      <c r="B54" s="25"/>
      <c r="C54" s="25"/>
      <c r="D54" s="8"/>
      <c r="E54" s="8"/>
      <c r="F54" s="8"/>
      <c r="G54" s="8"/>
      <c r="H54" s="8"/>
    </row>
    <row r="55" ht="14.6" customHeight="1">
      <c r="A55" t="s" s="10">
        <v>79</v>
      </c>
      <c r="B55" s="8"/>
      <c r="C55" s="8"/>
      <c r="D55" s="8"/>
      <c r="E55" s="8"/>
      <c r="F55" s="8"/>
      <c r="G55" s="8"/>
      <c r="H55" s="8"/>
    </row>
    <row r="56" ht="15" customHeight="1">
      <c r="A56" s="30"/>
      <c r="B56" s="31"/>
      <c r="C56" s="31"/>
      <c r="D56" s="31"/>
      <c r="E56" s="31"/>
      <c r="F56" s="31"/>
      <c r="G56" s="31"/>
      <c r="H56" s="31"/>
    </row>
    <row r="57" ht="15" customHeight="1">
      <c r="A57" t="s" s="32">
        <v>80</v>
      </c>
      <c r="B57" s="31"/>
      <c r="C57" s="31"/>
      <c r="D57" s="31"/>
      <c r="E57" s="31"/>
      <c r="F57" s="31"/>
      <c r="G57" s="31"/>
      <c r="H57" s="31"/>
    </row>
    <row r="58" ht="15" customHeight="1">
      <c r="A58" t="s" s="32">
        <v>81</v>
      </c>
      <c r="B58" s="31"/>
      <c r="C58" s="31"/>
      <c r="D58" s="31"/>
      <c r="E58" s="31"/>
      <c r="F58" s="31"/>
      <c r="G58" s="31"/>
      <c r="H58" s="31"/>
    </row>
    <row r="59" ht="15" customHeight="1">
      <c r="A59" t="s" s="32">
        <v>82</v>
      </c>
      <c r="B59" s="31"/>
      <c r="C59" s="31"/>
      <c r="D59" s="31"/>
      <c r="E59" s="31"/>
      <c r="F59" s="31"/>
      <c r="G59" s="31"/>
      <c r="H59" s="31"/>
    </row>
    <row r="60" ht="15" customHeight="1">
      <c r="A60" t="s" s="32">
        <v>83</v>
      </c>
      <c r="B60" s="31"/>
      <c r="C60" s="31"/>
      <c r="D60" s="31"/>
      <c r="E60" s="31"/>
      <c r="F60" s="31"/>
      <c r="G60" s="31"/>
      <c r="H60" s="31"/>
    </row>
    <row r="61" ht="15" customHeight="1">
      <c r="A61" t="s" s="32">
        <v>84</v>
      </c>
      <c r="B61" s="31"/>
      <c r="C61" s="31"/>
      <c r="D61" s="31"/>
      <c r="E61" s="31"/>
      <c r="F61" s="31"/>
      <c r="G61" s="31"/>
      <c r="H61" s="31"/>
    </row>
    <row r="62" ht="15" customHeight="1">
      <c r="A62" t="s" s="32">
        <v>85</v>
      </c>
      <c r="B62" s="31"/>
      <c r="C62" s="31"/>
      <c r="D62" s="31"/>
      <c r="E62" s="31"/>
      <c r="F62" s="31"/>
      <c r="G62" s="31"/>
      <c r="H62" s="31"/>
    </row>
  </sheetData>
  <mergeCells count="16">
    <mergeCell ref="A1:H1"/>
    <mergeCell ref="D30:F30"/>
    <mergeCell ref="D31:F31"/>
    <mergeCell ref="D32:F32"/>
    <mergeCell ref="C35:F35"/>
    <mergeCell ref="D40:F40"/>
    <mergeCell ref="D41:F41"/>
    <mergeCell ref="D42:F42"/>
    <mergeCell ref="C45:F45"/>
    <mergeCell ref="A56:H56"/>
    <mergeCell ref="A57:H57"/>
    <mergeCell ref="A58:H58"/>
    <mergeCell ref="A59:H59"/>
    <mergeCell ref="A60:H60"/>
    <mergeCell ref="A61:H61"/>
    <mergeCell ref="A62:H62"/>
  </mergeCells>
  <pageMargins left="0.4" right="0.4" top="1" bottom="1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